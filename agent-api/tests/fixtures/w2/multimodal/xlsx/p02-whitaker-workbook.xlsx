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" sheetId="1" state="visible" r:id="rId1"/>
    <sheet xmlns:r="http://schemas.openxmlformats.org/officeDocument/2006/relationships" name="Medications" sheetId="2" state="visible" r:id="rId2"/>
    <sheet xmlns:r="http://schemas.openxmlformats.org/officeDocument/2006/relationships" name="Labs_Trend" sheetId="3" state="visible" r:id="rId3"/>
    <sheet xmlns:r="http://schemas.openxmlformats.org/officeDocument/2006/relationships" name="Care_G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6100"/>
    </font>
    <font>
      <b val="1"/>
      <color rgb="009C0006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edsP02" displayName="MedsP02" ref="A1:J5" headerRowCount="1">
  <autoFilter ref="A1:J5"/>
  <tableColumns count="10">
    <tableColumn id="1" name="Brand"/>
    <tableColumn id="2" name="Generic"/>
    <tableColumn id="3" name="Strength"/>
    <tableColumn id="4" name="Route"/>
    <tableColumn id="5" name="Sig"/>
    <tableColumn id="6" name="Indication"/>
    <tableColumn id="7" name="Start_Date"/>
    <tableColumn id="8" name="Last_Filled"/>
    <tableColumn id="9" name="Refills_Remaining"/>
    <tableColumn id="10" name="Prescriber"/>
  </tableColumns>
  <tableStyleInfo name="TableStyleMedium9" showRowStripes="1"/>
</table>
</file>

<file path=xl/tables/table2.xml><?xml version="1.0" encoding="utf-8"?>
<table xmlns="http://schemas.openxmlformats.org/spreadsheetml/2006/main" id="2" name="GapsP02" displayName="GapsP02" ref="A1:F7" headerRowCount="1">
  <autoFilter ref="A1:F7"/>
  <tableColumns count="6">
    <tableColumn id="1" name="Measure"/>
    <tableColumn id="2" name="HEDIS_or_USPSTF_ref"/>
    <tableColumn id="3" name="Status"/>
    <tableColumn id="4" name="Last_Done"/>
    <tableColumn id="5" name="Due_Date"/>
    <tableColumn id="6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Name</t>
        </is>
      </c>
      <c r="B2" t="inlineStr">
        <is>
          <t>James Whitaker</t>
        </is>
      </c>
    </row>
    <row r="3">
      <c r="A3" s="2" t="inlineStr">
        <is>
          <t>DOB</t>
        </is>
      </c>
      <c r="B3" t="inlineStr">
        <is>
          <t>1958-11-22</t>
        </is>
      </c>
    </row>
    <row r="4">
      <c r="A4" s="2" t="inlineStr">
        <is>
          <t>Sex</t>
        </is>
      </c>
      <c r="B4" t="inlineStr">
        <is>
          <t>M</t>
        </is>
      </c>
    </row>
    <row r="5">
      <c r="A5" s="2" t="inlineStr">
        <is>
          <t>MRN</t>
        </is>
      </c>
      <c r="B5" t="inlineStr">
        <is>
          <t>NMM-9912448</t>
        </is>
      </c>
    </row>
    <row r="6">
      <c r="A6" s="2" t="inlineStr">
        <is>
          <t>Address</t>
        </is>
      </c>
      <c r="B6" t="inlineStr">
        <is>
          <t>4127 Comanche Rd NE, Albuquerque, NM 87110</t>
        </is>
      </c>
    </row>
    <row r="7">
      <c r="A7" s="2" t="inlineStr">
        <is>
          <t>Phone</t>
        </is>
      </c>
      <c r="B7" t="inlineStr">
        <is>
          <t>(505) 555-0188</t>
        </is>
      </c>
    </row>
    <row r="8">
      <c r="A8" s="2" t="inlineStr">
        <is>
          <t>PCP</t>
        </is>
      </c>
      <c r="B8" t="inlineStr">
        <is>
          <t>Dr. Daniel Ortega, DO</t>
        </is>
      </c>
    </row>
    <row r="9">
      <c r="A9" s="2" t="inlineStr">
        <is>
          <t>PCP_NPI</t>
        </is>
      </c>
      <c r="B9" t="inlineStr">
        <is>
          <t>1636814596</t>
        </is>
      </c>
    </row>
    <row r="10">
      <c r="A10" s="2" t="inlineStr">
        <is>
          <t>Insurance</t>
        </is>
      </c>
      <c r="B10" t="inlineStr">
        <is>
          <t>Medicare Part B + Aetna Medigap Plan G</t>
        </is>
      </c>
    </row>
    <row r="11">
      <c r="A11" s="2" t="inlineStr">
        <is>
          <t>Member_ID</t>
        </is>
      </c>
      <c r="B11" t="inlineStr">
        <is>
          <t>1AB-2C3-D4E5</t>
        </is>
      </c>
    </row>
    <row r="12">
      <c r="A12" s="2" t="inlineStr">
        <is>
          <t>Group</t>
        </is>
      </c>
    </row>
    <row r="13">
      <c r="A13" s="2" t="inlineStr">
        <is>
          <t>Allergies</t>
        </is>
      </c>
      <c r="B13" t="inlineStr">
        <is>
          <t>Sulfa drugs — rash</t>
        </is>
      </c>
    </row>
    <row r="14">
      <c r="A14" s="2" t="inlineStr">
        <is>
          <t>As_Of_Date</t>
        </is>
      </c>
      <c r="B14" t="inlineStr">
        <is>
          <t>2026-05-06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0" customWidth="1" min="3" max="3"/>
    <col width="10" customWidth="1" min="4" max="4"/>
    <col width="34" customWidth="1" min="5" max="5"/>
    <col width="41" customWidth="1" min="6" max="6"/>
    <col width="12" customWidth="1" min="7" max="7"/>
    <col width="13" customWidth="1" min="8" max="8"/>
    <col width="19" customWidth="1" min="9" max="9"/>
    <col width="23" customWidth="1" min="10" max="10"/>
  </cols>
  <sheetData>
    <row r="1">
      <c r="A1" t="inlineStr">
        <is>
          <t>Brand</t>
        </is>
      </c>
      <c r="B1" t="inlineStr">
        <is>
          <t>Generic</t>
        </is>
      </c>
      <c r="C1" t="inlineStr">
        <is>
          <t>Strength</t>
        </is>
      </c>
      <c r="D1" t="inlineStr">
        <is>
          <t>Route</t>
        </is>
      </c>
      <c r="E1" t="inlineStr">
        <is>
          <t>Sig</t>
        </is>
      </c>
      <c r="F1" t="inlineStr">
        <is>
          <t>Indication</t>
        </is>
      </c>
      <c r="G1" t="inlineStr">
        <is>
          <t>Start_Date</t>
        </is>
      </c>
      <c r="H1" t="inlineStr">
        <is>
          <t>Last_Filled</t>
        </is>
      </c>
      <c r="I1" t="inlineStr">
        <is>
          <t>Refills_Remaining</t>
        </is>
      </c>
      <c r="J1" t="inlineStr">
        <is>
          <t>Prescriber</t>
        </is>
      </c>
    </row>
    <row r="2">
      <c r="A2" t="inlineStr">
        <is>
          <t>Eliquis</t>
        </is>
      </c>
      <c r="B2" t="inlineStr">
        <is>
          <t>apixaban</t>
        </is>
      </c>
      <c r="C2" t="inlineStr">
        <is>
          <t>5 mg</t>
        </is>
      </c>
      <c r="D2" t="inlineStr">
        <is>
          <t>PO</t>
        </is>
      </c>
      <c r="E2" t="inlineStr">
        <is>
          <t>1 tab PO BID</t>
        </is>
      </c>
      <c r="F2" t="inlineStr">
        <is>
          <t>Atrial fibrillation, stroke prophylaxis</t>
        </is>
      </c>
      <c r="G2" t="inlineStr">
        <is>
          <t>2023-02-14</t>
        </is>
      </c>
      <c r="H2" t="inlineStr">
        <is>
          <t>2026-04-22</t>
        </is>
      </c>
      <c r="I2" t="n">
        <v>1</v>
      </c>
      <c r="J2" t="inlineStr">
        <is>
          <t>Dr. Daniel Ortega, DO</t>
        </is>
      </c>
    </row>
    <row r="3">
      <c r="A3" t="inlineStr">
        <is>
          <t>Toprol XL</t>
        </is>
      </c>
      <c r="B3" t="inlineStr">
        <is>
          <t>metoprolol succinate</t>
        </is>
      </c>
      <c r="C3" t="inlineStr">
        <is>
          <t>50 mg</t>
        </is>
      </c>
      <c r="D3" t="inlineStr">
        <is>
          <t>PO</t>
        </is>
      </c>
      <c r="E3" t="inlineStr">
        <is>
          <t>1 tab PO daily</t>
        </is>
      </c>
      <c r="F3" t="inlineStr">
        <is>
          <t>Atrial fibrillation, rate control</t>
        </is>
      </c>
      <c r="G3" t="inlineStr">
        <is>
          <t>2023-02-14</t>
        </is>
      </c>
      <c r="H3" t="inlineStr">
        <is>
          <t>2026-04-22</t>
        </is>
      </c>
      <c r="I3" t="n">
        <v>2</v>
      </c>
      <c r="J3" t="inlineStr">
        <is>
          <t>Dr. Daniel Ortega, DO</t>
        </is>
      </c>
    </row>
    <row r="4">
      <c r="A4" t="inlineStr">
        <is>
          <t>Lipitor</t>
        </is>
      </c>
      <c r="B4" t="inlineStr">
        <is>
          <t>atorvastatin</t>
        </is>
      </c>
      <c r="C4" t="inlineStr">
        <is>
          <t>20 mg</t>
        </is>
      </c>
      <c r="D4" t="inlineStr">
        <is>
          <t>PO</t>
        </is>
      </c>
      <c r="E4" t="inlineStr">
        <is>
          <t>1 tab PO daily</t>
        </is>
      </c>
      <c r="F4" t="inlineStr">
        <is>
          <t>Hyperlipidemia</t>
        </is>
      </c>
      <c r="G4" t="inlineStr">
        <is>
          <t>2019-08-03</t>
        </is>
      </c>
      <c r="H4" t="inlineStr">
        <is>
          <t>2026-04-22</t>
        </is>
      </c>
      <c r="I4" t="n">
        <v>3</v>
      </c>
      <c r="J4" t="inlineStr">
        <is>
          <t>Dr. Daniel Ortega, DO</t>
        </is>
      </c>
    </row>
    <row r="5">
      <c r="A5" t="inlineStr">
        <is>
          <t>Flomax</t>
        </is>
      </c>
      <c r="B5" t="inlineStr">
        <is>
          <t>tamsulosin</t>
        </is>
      </c>
      <c r="C5" t="inlineStr">
        <is>
          <t>0.4 mg</t>
        </is>
      </c>
      <c r="D5" t="inlineStr">
        <is>
          <t>PO</t>
        </is>
      </c>
      <c r="E5" t="inlineStr">
        <is>
          <t>1 cap PO daily 30 min after meal</t>
        </is>
      </c>
      <c r="F5" t="inlineStr">
        <is>
          <t>BPH</t>
        </is>
      </c>
      <c r="G5" t="inlineStr">
        <is>
          <t>2021-11-30</t>
        </is>
      </c>
      <c r="H5" t="inlineStr">
        <is>
          <t>2026-04-22</t>
        </is>
      </c>
      <c r="I5" t="n">
        <v>4</v>
      </c>
      <c r="J5" t="inlineStr">
        <is>
          <t>Dr. Daniel Ortega, 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zoomScale="10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7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Test</t>
        </is>
      </c>
      <c r="B1" s="1" t="inlineStr">
        <is>
          <t>LOINC</t>
        </is>
      </c>
      <c r="C1" s="1" t="inlineStr">
        <is>
          <t>Units</t>
        </is>
      </c>
      <c r="D1" s="1" t="inlineStr">
        <is>
          <t>Reference_Range</t>
        </is>
      </c>
      <c r="E1" s="1" t="inlineStr">
        <is>
          <t>2025-11-18</t>
        </is>
      </c>
      <c r="F1" s="1" t="inlineStr">
        <is>
          <t>2026-02-05</t>
        </is>
      </c>
      <c r="G1" s="1" t="inlineStr">
        <is>
          <t>2026-04-15</t>
        </is>
      </c>
    </row>
    <row r="2">
      <c r="A2" t="inlineStr">
        <is>
          <t>Hemoglobin</t>
        </is>
      </c>
      <c r="B2" t="inlineStr">
        <is>
          <t>718-7</t>
        </is>
      </c>
      <c r="C2" t="inlineStr">
        <is>
          <t>g/dL</t>
        </is>
      </c>
      <c r="D2" t="inlineStr">
        <is>
          <t>13.5-17.5 (M)</t>
        </is>
      </c>
      <c r="E2" t="n">
        <v>12.1</v>
      </c>
      <c r="F2" t="n">
        <v>11.4</v>
      </c>
      <c r="G2" t="n">
        <v>10.4</v>
      </c>
    </row>
    <row r="3">
      <c r="A3" t="inlineStr">
        <is>
          <t>Hematocrit</t>
        </is>
      </c>
      <c r="B3" t="inlineStr">
        <is>
          <t>4544-3</t>
        </is>
      </c>
      <c r="C3" t="inlineStr">
        <is>
          <t>%</t>
        </is>
      </c>
      <c r="D3" t="inlineStr">
        <is>
          <t>41-53 (M)</t>
        </is>
      </c>
      <c r="E3" t="n">
        <v>34.3</v>
      </c>
      <c r="F3" t="n">
        <v>33.3</v>
      </c>
      <c r="G3" t="n">
        <v>32.1</v>
      </c>
    </row>
    <row r="4">
      <c r="A4" t="inlineStr">
        <is>
          <t>MCV</t>
        </is>
      </c>
      <c r="B4" t="inlineStr">
        <is>
          <t>787-2</t>
        </is>
      </c>
      <c r="C4" t="inlineStr">
        <is>
          <t>fL</t>
        </is>
      </c>
      <c r="D4" t="inlineStr">
        <is>
          <t>80-100</t>
        </is>
      </c>
      <c r="E4" t="n">
        <v>81</v>
      </c>
      <c r="F4" t="n">
        <v>78</v>
      </c>
      <c r="G4" t="n">
        <v>76</v>
      </c>
    </row>
    <row r="5">
      <c r="A5" t="inlineStr">
        <is>
          <t>RBC</t>
        </is>
      </c>
      <c r="B5" t="inlineStr">
        <is>
          <t>789-8</t>
        </is>
      </c>
      <c r="C5" t="inlineStr">
        <is>
          <t>x10^6/uL</t>
        </is>
      </c>
      <c r="D5" t="inlineStr">
        <is>
          <t>4.5-5.9 (M)</t>
        </is>
      </c>
      <c r="E5" t="n">
        <v>4.42</v>
      </c>
      <c r="F5" t="n">
        <v>4.33</v>
      </c>
      <c r="G5" t="n">
        <v>4.22</v>
      </c>
    </row>
    <row r="6">
      <c r="A6" t="inlineStr">
        <is>
          <t>Platelets</t>
        </is>
      </c>
      <c r="B6" t="inlineStr">
        <is>
          <t>777-3</t>
        </is>
      </c>
      <c r="C6" t="inlineStr">
        <is>
          <t>x10^3/uL</t>
        </is>
      </c>
      <c r="D6" t="inlineStr">
        <is>
          <t>150-400</t>
        </is>
      </c>
      <c r="E6" t="n">
        <v>254</v>
      </c>
      <c r="F6" t="n">
        <v>253</v>
      </c>
      <c r="G6" t="n">
        <v>245</v>
      </c>
    </row>
    <row r="7">
      <c r="A7" t="inlineStr">
        <is>
          <t>WBC</t>
        </is>
      </c>
      <c r="B7" t="inlineStr">
        <is>
          <t>6690-2</t>
        </is>
      </c>
      <c r="C7" t="inlineStr">
        <is>
          <t>x10^3/uL</t>
        </is>
      </c>
      <c r="D7" t="inlineStr">
        <is>
          <t>4.5-11.0</t>
        </is>
      </c>
      <c r="E7" t="n">
        <v>7</v>
      </c>
      <c r="F7" t="n">
        <v>6.6</v>
      </c>
      <c r="G7" t="n">
        <v>6.8</v>
      </c>
    </row>
  </sheetData>
  <conditionalFormatting sqref="E2:G2">
    <cfRule type="cellIs" priority="1" operator="lessThan" dxfId="0">
      <formula>13.5</formula>
    </cfRule>
    <cfRule type="cellIs" priority="2" operator="greaterThan" dxfId="0">
      <formula>17.5</formula>
    </cfRule>
  </conditionalFormatting>
  <conditionalFormatting sqref="E3:G3">
    <cfRule type="cellIs" priority="3" operator="lessThan" dxfId="0">
      <formula>41</formula>
    </cfRule>
    <cfRule type="cellIs" priority="4" operator="greaterThan" dxfId="0">
      <formula>53</formula>
    </cfRule>
  </conditionalFormatting>
  <conditionalFormatting sqref="E4:G4">
    <cfRule type="cellIs" priority="5" operator="lessThan" dxfId="0">
      <formula>80</formula>
    </cfRule>
    <cfRule type="cellIs" priority="6" operator="greaterThan" dxfId="0">
      <formula>100</formula>
    </cfRule>
  </conditionalFormatting>
  <conditionalFormatting sqref="E5:G5">
    <cfRule type="cellIs" priority="7" operator="lessThan" dxfId="0">
      <formula>4.5</formula>
    </cfRule>
    <cfRule type="cellIs" priority="8" operator="greaterThan" dxfId="0">
      <formula>5.9</formula>
    </cfRule>
  </conditionalFormatting>
  <conditionalFormatting sqref="E6:G6">
    <cfRule type="cellIs" priority="9" operator="lessThan" dxfId="0">
      <formula>150</formula>
    </cfRule>
    <cfRule type="cellIs" priority="10" operator="greaterThan" dxfId="0">
      <formula>400</formula>
    </cfRule>
  </conditionalFormatting>
  <conditionalFormatting sqref="E7:G7">
    <cfRule type="cellIs" priority="11" operator="lessThan" dxfId="0">
      <formula>4.5</formula>
    </cfRule>
    <cfRule type="cellIs" priority="12" operator="greaterThan" dxfId="0">
      <formula>11.0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12" customWidth="1" min="3" max="3"/>
    <col width="12" customWidth="1" min="4" max="4"/>
    <col width="12" customWidth="1" min="5" max="5"/>
    <col width="60" customWidth="1" min="6" max="6"/>
  </cols>
  <sheetData>
    <row r="1">
      <c r="A1" t="inlineStr">
        <is>
          <t>Measure</t>
        </is>
      </c>
      <c r="B1" t="inlineStr">
        <is>
          <t>HEDIS_or_USPSTF_ref</t>
        </is>
      </c>
      <c r="C1" t="inlineStr">
        <is>
          <t>Status</t>
        </is>
      </c>
      <c r="D1" t="inlineStr">
        <is>
          <t>Last_Done</t>
        </is>
      </c>
      <c r="E1" t="inlineStr">
        <is>
          <t>Due_Date</t>
        </is>
      </c>
      <c r="F1" t="inlineStr">
        <is>
          <t>Notes</t>
        </is>
      </c>
    </row>
    <row r="2">
      <c r="A2" t="inlineStr">
        <is>
          <t>Anticoagulation therapy in AFib (PINJ)</t>
        </is>
      </c>
      <c r="B2" t="inlineStr">
        <is>
          <t>HEDIS PINJ</t>
        </is>
      </c>
      <c r="C2" s="3" t="inlineStr">
        <is>
          <t>UP TO DATE</t>
        </is>
      </c>
      <c r="D2" t="inlineStr">
        <is>
          <t>2026-04-22</t>
        </is>
      </c>
      <c r="E2" t="inlineStr">
        <is>
          <t>2027-04-22</t>
        </is>
      </c>
      <c r="F2" t="inlineStr">
        <is>
          <t>Apixaban 5 mg BID; CHA2DS2-VASc=3</t>
        </is>
      </c>
    </row>
    <row r="3">
      <c r="A3" t="inlineStr">
        <is>
          <t>Statin Therapy for CVD</t>
        </is>
      </c>
      <c r="B3" t="inlineStr">
        <is>
          <t>HEDIS SPC</t>
        </is>
      </c>
      <c r="C3" s="3" t="inlineStr">
        <is>
          <t>UP TO DATE</t>
        </is>
      </c>
      <c r="D3" t="inlineStr">
        <is>
          <t>2026-04-22</t>
        </is>
      </c>
      <c r="E3" t="inlineStr">
        <is>
          <t>2027-04-22</t>
        </is>
      </c>
      <c r="F3" t="inlineStr">
        <is>
          <t>Atorvastatin 20 mg</t>
        </is>
      </c>
    </row>
    <row r="4">
      <c r="A4" t="inlineStr">
        <is>
          <t>Colorectal cancer screening</t>
        </is>
      </c>
      <c r="B4" t="inlineStr">
        <is>
          <t>HEDIS COL</t>
        </is>
      </c>
      <c r="C4" s="4" t="inlineStr">
        <is>
          <t>OVERDUE</t>
        </is>
      </c>
      <c r="D4" t="inlineStr">
        <is>
          <t>2014-08-22</t>
        </is>
      </c>
      <c r="E4" t="inlineStr">
        <is>
          <t>2024-08-22</t>
        </is>
      </c>
      <c r="F4" t="inlineStr">
        <is>
          <t>URGENT given microcytic anemia workup; colonoscopy ordered</t>
        </is>
      </c>
    </row>
    <row r="5">
      <c r="A5" t="inlineStr">
        <is>
          <t>Influenza vaccination (annual)</t>
        </is>
      </c>
      <c r="B5" t="inlineStr">
        <is>
          <t>HEDIS FVA</t>
        </is>
      </c>
      <c r="C5" s="3" t="inlineStr">
        <is>
          <t>UP TO DATE</t>
        </is>
      </c>
      <c r="D5" t="inlineStr">
        <is>
          <t>2025-10-12</t>
        </is>
      </c>
      <c r="E5" t="inlineStr">
        <is>
          <t>2026-10-12</t>
        </is>
      </c>
      <c r="F5" t="inlineStr">
        <is>
          <t>Quad inactivated, high-dose</t>
        </is>
      </c>
    </row>
    <row r="6">
      <c r="A6" t="inlineStr">
        <is>
          <t>Pneumococcal vaccination (&gt;=65)</t>
        </is>
      </c>
      <c r="B6" t="inlineStr">
        <is>
          <t>ACIP</t>
        </is>
      </c>
      <c r="C6" s="3" t="inlineStr">
        <is>
          <t>UP TO DATE</t>
        </is>
      </c>
      <c r="D6" t="inlineStr">
        <is>
          <t>2024-01-19</t>
        </is>
      </c>
      <c r="E6" t="inlineStr">
        <is>
          <t>Lifetime</t>
        </is>
      </c>
      <c r="F6" t="inlineStr">
        <is>
          <t>PCV20 administered</t>
        </is>
      </c>
    </row>
    <row r="7">
      <c r="A7" t="inlineStr">
        <is>
          <t>Iron studies / GI eval for anemia</t>
        </is>
      </c>
      <c r="B7" t="inlineStr">
        <is>
          <t>Internal QI</t>
        </is>
      </c>
      <c r="C7" s="4" t="inlineStr">
        <is>
          <t>OVERDUE</t>
        </is>
      </c>
      <c r="D7" t="inlineStr">
        <is>
          <t>—</t>
        </is>
      </c>
      <c r="E7" t="inlineStr">
        <is>
          <t>2026-05-15</t>
        </is>
      </c>
      <c r="F7" t="inlineStr">
        <is>
          <t>Ferritin/iron sat, FOBT, GI consult; EGD/colonoscopy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2026-05-06T05:14:05Z</dcterms:created>
  <dcterms:modified xmlns:dcterms="http://purl.org/dc/terms/" xmlns:xsi="http://www.w3.org/2001/XMLSchema-instance" xsi:type="dcterms:W3CDTF">2026-05-06T05:27:49Z</dcterms:modified>
</cp:coreProperties>
</file>